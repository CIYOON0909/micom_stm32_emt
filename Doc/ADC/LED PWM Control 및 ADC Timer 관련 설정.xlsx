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dev\01_icatch_working\v50\v50_fw2\sphost_LXQ2000\MICOM\DOC\"/>
    </mc:Choice>
  </mc:AlternateContent>
  <xr:revisionPtr revIDLastSave="0" documentId="13_ncr:1_{8EC69716-DF42-4B80-A6F3-8E2B561A4692}" xr6:coauthVersionLast="47" xr6:coauthVersionMax="47" xr10:uidLastSave="{00000000-0000-0000-0000-000000000000}"/>
  <bookViews>
    <workbookView xWindow="17904" yWindow="7008" windowWidth="23016" windowHeight="12216" activeTab="1" xr2:uid="{2EC8AB33-FFC2-44EF-986D-386BEE8B2DD8}"/>
  </bookViews>
  <sheets>
    <sheet name="PWM" sheetId="1" r:id="rId1"/>
    <sheet name="TIM FRE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2" l="1"/>
  <c r="K14" i="2"/>
  <c r="K15" i="2" s="1"/>
  <c r="M12" i="2"/>
  <c r="K7" i="2"/>
  <c r="K9" i="2" s="1"/>
  <c r="K10" i="2" s="1"/>
  <c r="M5" i="2"/>
  <c r="D15" i="1"/>
  <c r="D18" i="1" s="1"/>
  <c r="D19" i="1" s="1"/>
  <c r="D31" i="1"/>
  <c r="D34" i="1" s="1"/>
  <c r="D35" i="1" s="1"/>
  <c r="F29" i="1"/>
  <c r="K23" i="1"/>
  <c r="D18" i="2"/>
  <c r="D14" i="2"/>
  <c r="D15" i="2" s="1"/>
  <c r="F12" i="2"/>
  <c r="F5" i="2"/>
  <c r="F21" i="1"/>
  <c r="F13" i="1"/>
  <c r="F5" i="1"/>
  <c r="D7" i="2"/>
  <c r="D9" i="2" s="1"/>
  <c r="D10" i="2" s="1"/>
  <c r="D23" i="2" s="1"/>
  <c r="D26" i="2" s="1"/>
  <c r="D23" i="1"/>
  <c r="D26" i="1" s="1"/>
  <c r="D27" i="1" s="1"/>
  <c r="D11" i="1"/>
  <c r="D7" i="1"/>
  <c r="D10" i="1" s="1"/>
  <c r="K19" i="2" l="1"/>
  <c r="M14" i="2"/>
  <c r="M7" i="2"/>
  <c r="F31" i="1"/>
  <c r="D19" i="2"/>
  <c r="F7" i="2"/>
  <c r="F14" i="2"/>
  <c r="F7" i="1"/>
  <c r="F15" i="1"/>
  <c r="F23" i="1"/>
</calcChain>
</file>

<file path=xl/sharedStrings.xml><?xml version="1.0" encoding="utf-8"?>
<sst xmlns="http://schemas.openxmlformats.org/spreadsheetml/2006/main" count="190" uniqueCount="44">
  <si>
    <t>Prescaler</t>
    <phoneticPr fontId="1" type="noConversion"/>
  </si>
  <si>
    <t>TIM3 Freq</t>
    <phoneticPr fontId="1" type="noConversion"/>
  </si>
  <si>
    <t>TIM Freq = (Internal Clock Freq) / (Prescaler + 1)</t>
    <phoneticPr fontId="1" type="noConversion"/>
  </si>
  <si>
    <t>Pulse</t>
    <phoneticPr fontId="1" type="noConversion"/>
  </si>
  <si>
    <t>Period</t>
    <phoneticPr fontId="1" type="noConversion"/>
  </si>
  <si>
    <t>PWM Freq</t>
    <phoneticPr fontId="1" type="noConversion"/>
  </si>
  <si>
    <t>DutyCycle(%)</t>
    <phoneticPr fontId="1" type="noConversion"/>
  </si>
  <si>
    <t>Hz</t>
    <phoneticPr fontId="1" type="noConversion"/>
  </si>
  <si>
    <t>64Mhz</t>
    <phoneticPr fontId="1" type="noConversion"/>
  </si>
  <si>
    <t>%</t>
    <phoneticPr fontId="1" type="noConversion"/>
  </si>
  <si>
    <t>value</t>
    <phoneticPr fontId="1" type="noConversion"/>
  </si>
  <si>
    <t>단위</t>
    <phoneticPr fontId="1" type="noConversion"/>
  </si>
  <si>
    <t>비고</t>
    <phoneticPr fontId="1" type="noConversion"/>
  </si>
  <si>
    <t>item</t>
    <phoneticPr fontId="1" type="noConversion"/>
  </si>
  <si>
    <t>PWM Freq = TIM Freq / Period</t>
    <phoneticPr fontId="1" type="noConversion"/>
  </si>
  <si>
    <t>DutyCycle = (Pulse)/(Period)*100</t>
    <phoneticPr fontId="1" type="noConversion"/>
  </si>
  <si>
    <t>Pulse = DutyCycle * Period / 100</t>
    <phoneticPr fontId="1" type="noConversion"/>
  </si>
  <si>
    <t>입력</t>
    <phoneticPr fontId="1" type="noConversion"/>
  </si>
  <si>
    <t>자동계산</t>
    <phoneticPr fontId="1" type="noConversion"/>
  </si>
  <si>
    <t>STM32G070 TIM14 PWM Output 설정</t>
    <phoneticPr fontId="1" type="noConversion"/>
  </si>
  <si>
    <t>Trigger Freq</t>
    <phoneticPr fontId="1" type="noConversion"/>
  </si>
  <si>
    <t>Clock Source</t>
    <phoneticPr fontId="1" type="noConversion"/>
  </si>
  <si>
    <t>STM32G070 TIM6/ADC CLOCK Output 설정</t>
    <phoneticPr fontId="1" type="noConversion"/>
  </si>
  <si>
    <t>TIM6</t>
    <phoneticPr fontId="1" type="noConversion"/>
  </si>
  <si>
    <t>ADC</t>
    <phoneticPr fontId="1" type="noConversion"/>
  </si>
  <si>
    <t>16Mhz</t>
    <phoneticPr fontId="1" type="noConversion"/>
  </si>
  <si>
    <t>ADC Freq</t>
    <phoneticPr fontId="1" type="noConversion"/>
  </si>
  <si>
    <t>us</t>
    <phoneticPr fontId="1" type="noConversion"/>
  </si>
  <si>
    <t>Sample Cycles</t>
    <phoneticPr fontId="1" type="noConversion"/>
  </si>
  <si>
    <t>DIV (1,2,4,6,8,10,12,16,32,64,128,256)</t>
    <phoneticPr fontId="1" type="noConversion"/>
  </si>
  <si>
    <t>Prescaler div</t>
    <phoneticPr fontId="1" type="noConversion"/>
  </si>
  <si>
    <t>ADC Freq = (Clock) / (Prescaler div)</t>
    <phoneticPr fontId="1" type="noConversion"/>
  </si>
  <si>
    <t>Resolution</t>
    <phoneticPr fontId="1" type="noConversion"/>
  </si>
  <si>
    <t>6bit, 8bit, 10bit, 12bit</t>
    <phoneticPr fontId="1" type="noConversion"/>
  </si>
  <si>
    <t>Trigger Period Time</t>
    <phoneticPr fontId="1" type="noConversion"/>
  </si>
  <si>
    <t>ADC Freq Time</t>
    <phoneticPr fontId="1" type="noConversion"/>
  </si>
  <si>
    <t>ADC Time</t>
    <phoneticPr fontId="1" type="noConversion"/>
  </si>
  <si>
    <t>ADC Cycles</t>
    <phoneticPr fontId="1" type="noConversion"/>
  </si>
  <si>
    <t>0~15 bit</t>
    <phoneticPr fontId="1" type="noConversion"/>
  </si>
  <si>
    <t>TIM Freq = (Clock Source) / (Prescaler + 1)</t>
    <phoneticPr fontId="1" type="noConversion"/>
  </si>
  <si>
    <t>max = 0xFFFF(65536)</t>
    <phoneticPr fontId="1" type="noConversion"/>
  </si>
  <si>
    <t>TIM6 Freq</t>
    <phoneticPr fontId="1" type="noConversion"/>
  </si>
  <si>
    <t>1Mhz</t>
    <phoneticPr fontId="1" type="noConversion"/>
  </si>
  <si>
    <t>ADC Clock Source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</si>
</sst>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B024-C7CC-40A4-99A3-BFA388A4E0CE}">
  <dimension ref="C2:K35"/>
  <sheetViews>
    <sheetView workbookViewId="0">
      <selection activeCell="D34" sqref="D34"/>
    </sheetView>
  </sheetViews>
  <sheetFormatPr defaultRowHeight="17.399999999999999" x14ac:dyDescent="0.4"/>
  <cols>
    <col min="2" max="2" width="4.8984375" customWidth="1"/>
    <col min="3" max="3" width="12.59765625" bestFit="1" customWidth="1"/>
    <col min="4" max="4" width="12.5" customWidth="1"/>
    <col min="5" max="5" width="5" style="22" bestFit="1" customWidth="1"/>
    <col min="6" max="6" width="5.09765625" customWidth="1"/>
    <col min="7" max="7" width="43.796875" bestFit="1" customWidth="1"/>
  </cols>
  <sheetData>
    <row r="2" spans="3:8" ht="27.6" x14ac:dyDescent="0.4">
      <c r="C2" s="23" t="s">
        <v>19</v>
      </c>
      <c r="D2" s="23"/>
      <c r="E2" s="23"/>
      <c r="F2" s="23"/>
      <c r="G2" s="23"/>
    </row>
    <row r="4" spans="3:8" x14ac:dyDescent="0.4">
      <c r="C4" s="10" t="s">
        <v>13</v>
      </c>
      <c r="D4" s="11" t="s">
        <v>10</v>
      </c>
      <c r="E4" s="12" t="s">
        <v>11</v>
      </c>
      <c r="F4" s="13"/>
      <c r="G4" s="13" t="s">
        <v>12</v>
      </c>
      <c r="H4" s="7"/>
    </row>
    <row r="5" spans="3:8" x14ac:dyDescent="0.4">
      <c r="C5" s="1" t="s">
        <v>21</v>
      </c>
      <c r="D5" s="7">
        <v>64000000</v>
      </c>
      <c r="E5" s="19" t="s">
        <v>7</v>
      </c>
      <c r="F5" s="2">
        <f>D5/1000000</f>
        <v>64</v>
      </c>
      <c r="G5" s="2" t="s">
        <v>8</v>
      </c>
      <c r="H5" s="8" t="s">
        <v>17</v>
      </c>
    </row>
    <row r="6" spans="3:8" x14ac:dyDescent="0.4">
      <c r="C6" s="3" t="s">
        <v>0</v>
      </c>
      <c r="D6" s="8">
        <v>31</v>
      </c>
      <c r="E6" s="20"/>
      <c r="F6" s="4"/>
      <c r="G6" s="4"/>
      <c r="H6" s="8" t="s">
        <v>17</v>
      </c>
    </row>
    <row r="7" spans="3:8" x14ac:dyDescent="0.4">
      <c r="C7" s="3" t="s">
        <v>1</v>
      </c>
      <c r="D7" s="14">
        <f>(D5)/(D6+1)</f>
        <v>2000000</v>
      </c>
      <c r="E7" s="20" t="s">
        <v>7</v>
      </c>
      <c r="F7" s="4">
        <f>D7/1000000</f>
        <v>2</v>
      </c>
      <c r="G7" s="4" t="s">
        <v>2</v>
      </c>
      <c r="H7" s="8" t="s">
        <v>18</v>
      </c>
    </row>
    <row r="8" spans="3:8" x14ac:dyDescent="0.4">
      <c r="C8" s="3" t="s">
        <v>4</v>
      </c>
      <c r="D8" s="8">
        <v>40</v>
      </c>
      <c r="E8" s="20"/>
      <c r="F8" s="4"/>
      <c r="G8" s="4"/>
      <c r="H8" s="8" t="s">
        <v>17</v>
      </c>
    </row>
    <row r="9" spans="3:8" x14ac:dyDescent="0.4">
      <c r="C9" s="3" t="s">
        <v>3</v>
      </c>
      <c r="D9" s="8">
        <v>36</v>
      </c>
      <c r="E9" s="20"/>
      <c r="F9" s="4"/>
      <c r="G9" s="4"/>
      <c r="H9" s="8" t="s">
        <v>17</v>
      </c>
    </row>
    <row r="10" spans="3:8" x14ac:dyDescent="0.4">
      <c r="C10" s="1" t="s">
        <v>5</v>
      </c>
      <c r="D10" s="16">
        <f>D7/D8</f>
        <v>50000</v>
      </c>
      <c r="E10" s="19" t="s">
        <v>7</v>
      </c>
      <c r="F10" s="2"/>
      <c r="G10" s="2" t="s">
        <v>14</v>
      </c>
      <c r="H10" s="8" t="s">
        <v>18</v>
      </c>
    </row>
    <row r="11" spans="3:8" x14ac:dyDescent="0.4">
      <c r="C11" s="5" t="s">
        <v>6</v>
      </c>
      <c r="D11" s="15">
        <f>D9/D8*100</f>
        <v>90</v>
      </c>
      <c r="E11" s="21" t="s">
        <v>9</v>
      </c>
      <c r="F11" s="6"/>
      <c r="G11" s="6" t="s">
        <v>15</v>
      </c>
      <c r="H11" s="9" t="s">
        <v>18</v>
      </c>
    </row>
    <row r="13" spans="3:8" x14ac:dyDescent="0.4">
      <c r="C13" s="1" t="s">
        <v>21</v>
      </c>
      <c r="D13" s="7">
        <v>64000000</v>
      </c>
      <c r="E13" s="19" t="s">
        <v>7</v>
      </c>
      <c r="F13" s="2">
        <f>D13/1000000</f>
        <v>64</v>
      </c>
      <c r="G13" s="2" t="s">
        <v>8</v>
      </c>
      <c r="H13" s="7" t="s">
        <v>17</v>
      </c>
    </row>
    <row r="14" spans="3:8" x14ac:dyDescent="0.4">
      <c r="C14" s="3" t="s">
        <v>0</v>
      </c>
      <c r="D14" s="8">
        <v>31</v>
      </c>
      <c r="E14" s="20"/>
      <c r="F14" s="4"/>
      <c r="G14" s="4"/>
      <c r="H14" s="8" t="s">
        <v>17</v>
      </c>
    </row>
    <row r="15" spans="3:8" x14ac:dyDescent="0.4">
      <c r="C15" s="3" t="s">
        <v>1</v>
      </c>
      <c r="D15" s="14">
        <f>(D13)/(D14+1)</f>
        <v>2000000</v>
      </c>
      <c r="E15" s="20" t="s">
        <v>7</v>
      </c>
      <c r="F15" s="4">
        <f>D15/1000000</f>
        <v>2</v>
      </c>
      <c r="G15" s="4" t="s">
        <v>2</v>
      </c>
      <c r="H15" s="8" t="s">
        <v>18</v>
      </c>
    </row>
    <row r="16" spans="3:8" x14ac:dyDescent="0.4">
      <c r="C16" s="3" t="s">
        <v>5</v>
      </c>
      <c r="D16" s="8">
        <v>250</v>
      </c>
      <c r="E16" s="20" t="s">
        <v>7</v>
      </c>
      <c r="F16" s="4"/>
      <c r="G16" s="4" t="s">
        <v>14</v>
      </c>
      <c r="H16" s="8" t="s">
        <v>17</v>
      </c>
    </row>
    <row r="17" spans="3:11" x14ac:dyDescent="0.4">
      <c r="C17" s="5" t="s">
        <v>6</v>
      </c>
      <c r="D17" s="9">
        <v>90</v>
      </c>
      <c r="E17" s="21"/>
      <c r="F17" s="6"/>
      <c r="G17" s="6"/>
      <c r="H17" s="8" t="s">
        <v>17</v>
      </c>
    </row>
    <row r="18" spans="3:11" x14ac:dyDescent="0.4">
      <c r="C18" s="3" t="s">
        <v>4</v>
      </c>
      <c r="D18" s="17">
        <f>D15/D16</f>
        <v>8000</v>
      </c>
      <c r="E18" s="20"/>
      <c r="F18" s="4"/>
      <c r="G18" s="4"/>
      <c r="H18" s="8" t="s">
        <v>18</v>
      </c>
    </row>
    <row r="19" spans="3:11" x14ac:dyDescent="0.4">
      <c r="C19" s="5" t="s">
        <v>3</v>
      </c>
      <c r="D19" s="18">
        <f>D17*D18/100</f>
        <v>7200</v>
      </c>
      <c r="E19" s="21"/>
      <c r="F19" s="6"/>
      <c r="G19" s="6" t="s">
        <v>16</v>
      </c>
      <c r="H19" s="9" t="s">
        <v>18</v>
      </c>
    </row>
    <row r="21" spans="3:11" x14ac:dyDescent="0.4">
      <c r="C21" s="1" t="s">
        <v>21</v>
      </c>
      <c r="D21" s="7">
        <v>64000000</v>
      </c>
      <c r="E21" s="19" t="s">
        <v>7</v>
      </c>
      <c r="F21" s="2">
        <f>D21/1000000</f>
        <v>64</v>
      </c>
      <c r="G21" s="2" t="s">
        <v>8</v>
      </c>
      <c r="H21" s="7" t="s">
        <v>17</v>
      </c>
    </row>
    <row r="22" spans="3:11" x14ac:dyDescent="0.4">
      <c r="C22" s="3" t="s">
        <v>0</v>
      </c>
      <c r="D22" s="8">
        <v>31</v>
      </c>
      <c r="E22" s="20"/>
      <c r="F22" s="4"/>
      <c r="G22" s="4"/>
      <c r="H22" s="8" t="s">
        <v>17</v>
      </c>
    </row>
    <row r="23" spans="3:11" x14ac:dyDescent="0.4">
      <c r="C23" s="3" t="s">
        <v>1</v>
      </c>
      <c r="D23" s="14">
        <f>(D21)/(D22+1)</f>
        <v>2000000</v>
      </c>
      <c r="E23" s="20" t="s">
        <v>7</v>
      </c>
      <c r="F23" s="4">
        <f>D23/1000000</f>
        <v>2</v>
      </c>
      <c r="G23" s="4" t="s">
        <v>2</v>
      </c>
      <c r="H23" s="8" t="s">
        <v>18</v>
      </c>
      <c r="K23">
        <f>1/50000</f>
        <v>2.0000000000000002E-5</v>
      </c>
    </row>
    <row r="24" spans="3:11" x14ac:dyDescent="0.4">
      <c r="C24" s="3" t="s">
        <v>5</v>
      </c>
      <c r="D24" s="8">
        <v>50000</v>
      </c>
      <c r="E24" s="20" t="s">
        <v>7</v>
      </c>
      <c r="F24" s="4"/>
      <c r="G24" s="4" t="s">
        <v>14</v>
      </c>
      <c r="H24" s="8" t="s">
        <v>17</v>
      </c>
    </row>
    <row r="25" spans="3:11" x14ac:dyDescent="0.4">
      <c r="C25" s="5" t="s">
        <v>6</v>
      </c>
      <c r="D25" s="9">
        <v>90</v>
      </c>
      <c r="E25" s="21"/>
      <c r="F25" s="6"/>
      <c r="G25" s="6"/>
      <c r="H25" s="8" t="s">
        <v>17</v>
      </c>
    </row>
    <row r="26" spans="3:11" x14ac:dyDescent="0.4">
      <c r="C26" s="3" t="s">
        <v>4</v>
      </c>
      <c r="D26" s="17">
        <f>D23/D24</f>
        <v>40</v>
      </c>
      <c r="E26" s="20"/>
      <c r="F26" s="4"/>
      <c r="G26" s="4"/>
      <c r="H26" s="8" t="s">
        <v>18</v>
      </c>
    </row>
    <row r="27" spans="3:11" x14ac:dyDescent="0.4">
      <c r="C27" s="5" t="s">
        <v>3</v>
      </c>
      <c r="D27" s="18">
        <f>D25*D26/100</f>
        <v>36</v>
      </c>
      <c r="E27" s="21"/>
      <c r="F27" s="6"/>
      <c r="G27" s="6" t="s">
        <v>16</v>
      </c>
      <c r="H27" s="9" t="s">
        <v>18</v>
      </c>
    </row>
    <row r="29" spans="3:11" x14ac:dyDescent="0.4">
      <c r="C29" s="1" t="s">
        <v>21</v>
      </c>
      <c r="D29" s="7">
        <v>16000000</v>
      </c>
      <c r="E29" s="19" t="s">
        <v>7</v>
      </c>
      <c r="F29" s="2">
        <f>D29/1000000</f>
        <v>16</v>
      </c>
      <c r="G29" s="2" t="s">
        <v>8</v>
      </c>
      <c r="H29" s="7" t="s">
        <v>17</v>
      </c>
    </row>
    <row r="30" spans="3:11" x14ac:dyDescent="0.4">
      <c r="C30" s="3" t="s">
        <v>0</v>
      </c>
      <c r="D30" s="8">
        <v>7</v>
      </c>
      <c r="E30" s="20"/>
      <c r="F30" s="4"/>
      <c r="G30" s="4"/>
      <c r="H30" s="8" t="s">
        <v>17</v>
      </c>
    </row>
    <row r="31" spans="3:11" x14ac:dyDescent="0.4">
      <c r="C31" s="3" t="s">
        <v>1</v>
      </c>
      <c r="D31" s="14">
        <f>(D29)/(D30+1)</f>
        <v>2000000</v>
      </c>
      <c r="E31" s="20" t="s">
        <v>7</v>
      </c>
      <c r="F31" s="4">
        <f>D31/1000000</f>
        <v>2</v>
      </c>
      <c r="G31" s="4" t="s">
        <v>2</v>
      </c>
      <c r="H31" s="8" t="s">
        <v>18</v>
      </c>
    </row>
    <row r="32" spans="3:11" x14ac:dyDescent="0.4">
      <c r="C32" s="3" t="s">
        <v>5</v>
      </c>
      <c r="D32" s="8">
        <v>50000</v>
      </c>
      <c r="E32" s="20" t="s">
        <v>7</v>
      </c>
      <c r="F32" s="4"/>
      <c r="G32" s="4" t="s">
        <v>14</v>
      </c>
      <c r="H32" s="8" t="s">
        <v>17</v>
      </c>
    </row>
    <row r="33" spans="3:8" x14ac:dyDescent="0.4">
      <c r="C33" s="5" t="s">
        <v>6</v>
      </c>
      <c r="D33" s="9">
        <v>90</v>
      </c>
      <c r="E33" s="21"/>
      <c r="F33" s="6"/>
      <c r="G33" s="6"/>
      <c r="H33" s="8" t="s">
        <v>17</v>
      </c>
    </row>
    <row r="34" spans="3:8" x14ac:dyDescent="0.4">
      <c r="C34" s="3" t="s">
        <v>4</v>
      </c>
      <c r="D34" s="17">
        <f>D31/D32</f>
        <v>40</v>
      </c>
      <c r="E34" s="20"/>
      <c r="F34" s="4"/>
      <c r="G34" s="4"/>
      <c r="H34" s="8" t="s">
        <v>18</v>
      </c>
    </row>
    <row r="35" spans="3:8" x14ac:dyDescent="0.4">
      <c r="C35" s="5" t="s">
        <v>3</v>
      </c>
      <c r="D35" s="18">
        <f>D33*D34/100</f>
        <v>36</v>
      </c>
      <c r="E35" s="21"/>
      <c r="F35" s="6"/>
      <c r="G35" s="6" t="s">
        <v>16</v>
      </c>
      <c r="H35" s="9" t="s">
        <v>18</v>
      </c>
    </row>
  </sheetData>
  <mergeCells count="1">
    <mergeCell ref="C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D75F-FCAB-4377-8EF5-6F206EEE868E}">
  <dimension ref="B2:O26"/>
  <sheetViews>
    <sheetView tabSelected="1" topLeftCell="A3" workbookViewId="0">
      <selection activeCell="J13" sqref="J13"/>
    </sheetView>
  </sheetViews>
  <sheetFormatPr defaultRowHeight="17.399999999999999" x14ac:dyDescent="0.4"/>
  <cols>
    <col min="2" max="2" width="4.8984375" customWidth="1"/>
    <col min="3" max="3" width="18.59765625" bestFit="1" customWidth="1"/>
    <col min="4" max="4" width="12.5" customWidth="1"/>
    <col min="5" max="5" width="5" style="22" bestFit="1" customWidth="1"/>
    <col min="6" max="6" width="4.5" customWidth="1"/>
    <col min="7" max="7" width="43.796875" bestFit="1" customWidth="1"/>
    <col min="10" max="10" width="18.296875" bestFit="1" customWidth="1"/>
    <col min="11" max="11" width="9.3984375" bestFit="1" customWidth="1"/>
    <col min="12" max="12" width="5" bestFit="1" customWidth="1"/>
    <col min="13" max="13" width="3.3984375" bestFit="1" customWidth="1"/>
    <col min="14" max="14" width="38.796875" bestFit="1" customWidth="1"/>
  </cols>
  <sheetData>
    <row r="2" spans="2:15" ht="27.6" x14ac:dyDescent="0.4">
      <c r="C2" s="23" t="s">
        <v>22</v>
      </c>
      <c r="D2" s="23"/>
      <c r="E2" s="23"/>
      <c r="F2" s="23"/>
      <c r="G2" s="23"/>
    </row>
    <row r="4" spans="2:15" x14ac:dyDescent="0.4">
      <c r="B4" s="24" t="s">
        <v>23</v>
      </c>
      <c r="C4" s="10" t="s">
        <v>13</v>
      </c>
      <c r="D4" s="11" t="s">
        <v>10</v>
      </c>
      <c r="E4" s="12" t="s">
        <v>11</v>
      </c>
      <c r="F4" s="13"/>
      <c r="G4" s="13" t="s">
        <v>12</v>
      </c>
      <c r="H4" s="7"/>
      <c r="J4" s="10" t="s">
        <v>13</v>
      </c>
      <c r="K4" s="11" t="s">
        <v>10</v>
      </c>
      <c r="L4" s="12" t="s">
        <v>11</v>
      </c>
      <c r="M4" s="13"/>
      <c r="N4" s="13" t="s">
        <v>12</v>
      </c>
      <c r="O4" s="7"/>
    </row>
    <row r="5" spans="2:15" x14ac:dyDescent="0.4">
      <c r="B5" s="24"/>
      <c r="C5" s="1" t="s">
        <v>21</v>
      </c>
      <c r="D5" s="7">
        <v>64000000</v>
      </c>
      <c r="E5" s="19" t="s">
        <v>7</v>
      </c>
      <c r="F5" s="2">
        <f>D5/1000000</f>
        <v>64</v>
      </c>
      <c r="G5" s="2" t="s">
        <v>8</v>
      </c>
      <c r="H5" s="8" t="s">
        <v>17</v>
      </c>
      <c r="J5" s="1" t="s">
        <v>21</v>
      </c>
      <c r="K5" s="7">
        <v>2000000</v>
      </c>
      <c r="L5" s="19" t="s">
        <v>7</v>
      </c>
      <c r="M5" s="2">
        <f>K5/1000000</f>
        <v>2</v>
      </c>
      <c r="N5" s="2" t="s">
        <v>42</v>
      </c>
      <c r="O5" s="8" t="s">
        <v>17</v>
      </c>
    </row>
    <row r="6" spans="2:15" x14ac:dyDescent="0.4">
      <c r="B6" s="24"/>
      <c r="C6" s="3" t="s">
        <v>0</v>
      </c>
      <c r="D6" s="8">
        <v>63</v>
      </c>
      <c r="E6" s="20"/>
      <c r="F6" s="4"/>
      <c r="G6" s="4" t="s">
        <v>38</v>
      </c>
      <c r="H6" s="8" t="s">
        <v>17</v>
      </c>
      <c r="J6" s="3" t="s">
        <v>0</v>
      </c>
      <c r="K6" s="8">
        <v>1</v>
      </c>
      <c r="L6" s="20"/>
      <c r="M6" s="4"/>
      <c r="N6" s="4" t="s">
        <v>38</v>
      </c>
      <c r="O6" s="8" t="s">
        <v>17</v>
      </c>
    </row>
    <row r="7" spans="2:15" x14ac:dyDescent="0.4">
      <c r="B7" s="24"/>
      <c r="C7" s="3" t="s">
        <v>41</v>
      </c>
      <c r="D7" s="14">
        <f>(D5)/(D6+1)</f>
        <v>1000000</v>
      </c>
      <c r="E7" s="20" t="s">
        <v>7</v>
      </c>
      <c r="F7" s="4">
        <f>D7/1000000</f>
        <v>1</v>
      </c>
      <c r="G7" s="4" t="s">
        <v>39</v>
      </c>
      <c r="H7" s="8" t="s">
        <v>18</v>
      </c>
      <c r="J7" s="3" t="s">
        <v>41</v>
      </c>
      <c r="K7" s="14">
        <f>(K5)/(K6+1)</f>
        <v>1000000</v>
      </c>
      <c r="L7" s="20" t="s">
        <v>7</v>
      </c>
      <c r="M7" s="4">
        <f>K7/1000000</f>
        <v>1</v>
      </c>
      <c r="N7" s="4" t="s">
        <v>39</v>
      </c>
      <c r="O7" s="8" t="s">
        <v>18</v>
      </c>
    </row>
    <row r="8" spans="2:15" x14ac:dyDescent="0.4">
      <c r="B8" s="24"/>
      <c r="C8" s="3" t="s">
        <v>4</v>
      </c>
      <c r="D8" s="8">
        <v>100</v>
      </c>
      <c r="E8" s="20"/>
      <c r="F8" s="4"/>
      <c r="G8" s="4" t="s">
        <v>40</v>
      </c>
      <c r="H8" s="8" t="s">
        <v>17</v>
      </c>
      <c r="J8" s="3" t="s">
        <v>4</v>
      </c>
      <c r="K8" s="8">
        <v>100</v>
      </c>
      <c r="L8" s="20"/>
      <c r="M8" s="4"/>
      <c r="N8" s="4" t="s">
        <v>40</v>
      </c>
      <c r="O8" s="8" t="s">
        <v>17</v>
      </c>
    </row>
    <row r="9" spans="2:15" x14ac:dyDescent="0.4">
      <c r="B9" s="24"/>
      <c r="C9" s="1" t="s">
        <v>20</v>
      </c>
      <c r="D9" s="16">
        <f>D7/D8</f>
        <v>10000</v>
      </c>
      <c r="E9" s="19" t="s">
        <v>7</v>
      </c>
      <c r="F9" s="2"/>
      <c r="G9" s="2" t="s">
        <v>14</v>
      </c>
      <c r="H9" s="8" t="s">
        <v>18</v>
      </c>
      <c r="J9" s="1" t="s">
        <v>20</v>
      </c>
      <c r="K9" s="16">
        <f>K7/K8</f>
        <v>10000</v>
      </c>
      <c r="L9" s="19" t="s">
        <v>7</v>
      </c>
      <c r="M9" s="2"/>
      <c r="N9" s="2" t="s">
        <v>14</v>
      </c>
      <c r="O9" s="8" t="s">
        <v>18</v>
      </c>
    </row>
    <row r="10" spans="2:15" x14ac:dyDescent="0.4">
      <c r="B10" s="24"/>
      <c r="C10" s="5" t="s">
        <v>34</v>
      </c>
      <c r="D10" s="15">
        <f>1000000/D9</f>
        <v>100</v>
      </c>
      <c r="E10" s="21" t="s">
        <v>27</v>
      </c>
      <c r="F10" s="6"/>
      <c r="G10" s="6"/>
      <c r="H10" s="9"/>
      <c r="J10" s="5" t="s">
        <v>34</v>
      </c>
      <c r="K10" s="15">
        <f>1000000/K9</f>
        <v>100</v>
      </c>
      <c r="L10" s="21" t="s">
        <v>27</v>
      </c>
      <c r="M10" s="6"/>
      <c r="N10" s="6"/>
      <c r="O10" s="9"/>
    </row>
    <row r="11" spans="2:15" x14ac:dyDescent="0.4">
      <c r="L11" s="22"/>
    </row>
    <row r="12" spans="2:15" x14ac:dyDescent="0.4">
      <c r="B12" s="24" t="s">
        <v>24</v>
      </c>
      <c r="C12" s="1" t="s">
        <v>43</v>
      </c>
      <c r="D12" s="7">
        <v>16000000</v>
      </c>
      <c r="E12" s="19" t="s">
        <v>7</v>
      </c>
      <c r="F12" s="2">
        <f>D12/1000000</f>
        <v>16</v>
      </c>
      <c r="G12" s="2" t="s">
        <v>25</v>
      </c>
      <c r="H12" s="7" t="s">
        <v>17</v>
      </c>
      <c r="J12" s="1" t="s">
        <v>43</v>
      </c>
      <c r="K12" s="7">
        <v>16000000</v>
      </c>
      <c r="L12" s="19" t="s">
        <v>7</v>
      </c>
      <c r="M12" s="2">
        <f>K12/1000000</f>
        <v>16</v>
      </c>
      <c r="N12" s="2" t="s">
        <v>25</v>
      </c>
      <c r="O12" s="7" t="s">
        <v>17</v>
      </c>
    </row>
    <row r="13" spans="2:15" x14ac:dyDescent="0.4">
      <c r="B13" s="24"/>
      <c r="C13" s="3" t="s">
        <v>30</v>
      </c>
      <c r="D13" s="8">
        <v>8</v>
      </c>
      <c r="E13" s="20"/>
      <c r="F13" s="4"/>
      <c r="G13" s="4" t="s">
        <v>29</v>
      </c>
      <c r="H13" s="8" t="s">
        <v>17</v>
      </c>
      <c r="J13" s="3" t="s">
        <v>30</v>
      </c>
      <c r="K13" s="8">
        <v>8</v>
      </c>
      <c r="L13" s="20"/>
      <c r="M13" s="4"/>
      <c r="N13" s="4" t="s">
        <v>29</v>
      </c>
      <c r="O13" s="8" t="s">
        <v>17</v>
      </c>
    </row>
    <row r="14" spans="2:15" x14ac:dyDescent="0.4">
      <c r="B14" s="24"/>
      <c r="C14" s="3" t="s">
        <v>26</v>
      </c>
      <c r="D14" s="14">
        <f>(D12)/(D13)</f>
        <v>2000000</v>
      </c>
      <c r="E14" s="20" t="s">
        <v>7</v>
      </c>
      <c r="F14" s="4">
        <f>D14/1000000</f>
        <v>2</v>
      </c>
      <c r="G14" s="4" t="s">
        <v>31</v>
      </c>
      <c r="H14" s="8" t="s">
        <v>18</v>
      </c>
      <c r="J14" s="3" t="s">
        <v>26</v>
      </c>
      <c r="K14" s="14">
        <f>(K12)/(K13)</f>
        <v>2000000</v>
      </c>
      <c r="L14" s="20" t="s">
        <v>7</v>
      </c>
      <c r="M14" s="4">
        <f>K14/1000000</f>
        <v>2</v>
      </c>
      <c r="N14" s="4" t="s">
        <v>31</v>
      </c>
      <c r="O14" s="8" t="s">
        <v>18</v>
      </c>
    </row>
    <row r="15" spans="2:15" x14ac:dyDescent="0.4">
      <c r="B15" s="24"/>
      <c r="C15" s="3" t="s">
        <v>35</v>
      </c>
      <c r="D15" s="14">
        <f>1000000/D14</f>
        <v>0.5</v>
      </c>
      <c r="E15" s="20" t="s">
        <v>27</v>
      </c>
      <c r="F15" s="4"/>
      <c r="G15" s="4"/>
      <c r="H15" s="8" t="s">
        <v>18</v>
      </c>
      <c r="J15" s="3" t="s">
        <v>35</v>
      </c>
      <c r="K15" s="14">
        <f>1000000/K14</f>
        <v>0.5</v>
      </c>
      <c r="L15" s="20" t="s">
        <v>27</v>
      </c>
      <c r="M15" s="4"/>
      <c r="N15" s="4"/>
      <c r="O15" s="8" t="s">
        <v>18</v>
      </c>
    </row>
    <row r="16" spans="2:15" x14ac:dyDescent="0.4">
      <c r="B16" s="24"/>
      <c r="C16" s="3" t="s">
        <v>32</v>
      </c>
      <c r="D16" s="8">
        <v>12</v>
      </c>
      <c r="E16" s="20"/>
      <c r="F16" s="4"/>
      <c r="G16" s="4" t="s">
        <v>33</v>
      </c>
      <c r="H16" s="8" t="s">
        <v>17</v>
      </c>
      <c r="J16" s="3" t="s">
        <v>32</v>
      </c>
      <c r="K16" s="8">
        <v>12</v>
      </c>
      <c r="L16" s="20"/>
      <c r="M16" s="4"/>
      <c r="N16" s="4" t="s">
        <v>33</v>
      </c>
      <c r="O16" s="8" t="s">
        <v>17</v>
      </c>
    </row>
    <row r="17" spans="2:15" x14ac:dyDescent="0.4">
      <c r="B17" s="24"/>
      <c r="C17" s="5" t="s">
        <v>28</v>
      </c>
      <c r="D17" s="9">
        <v>7.5</v>
      </c>
      <c r="E17" s="21"/>
      <c r="F17" s="6"/>
      <c r="G17" s="6"/>
      <c r="H17" s="8" t="s">
        <v>17</v>
      </c>
      <c r="J17" s="5" t="s">
        <v>28</v>
      </c>
      <c r="K17" s="9">
        <v>7.5</v>
      </c>
      <c r="L17" s="21"/>
      <c r="M17" s="6"/>
      <c r="N17" s="6"/>
      <c r="O17" s="8" t="s">
        <v>17</v>
      </c>
    </row>
    <row r="18" spans="2:15" x14ac:dyDescent="0.4">
      <c r="B18" s="24"/>
      <c r="C18" s="3" t="s">
        <v>37</v>
      </c>
      <c r="D18" s="17">
        <f>D16+D17</f>
        <v>19.5</v>
      </c>
      <c r="E18" s="20"/>
      <c r="F18" s="4"/>
      <c r="G18" s="4"/>
      <c r="H18" s="8" t="s">
        <v>18</v>
      </c>
      <c r="J18" s="3" t="s">
        <v>37</v>
      </c>
      <c r="K18" s="17">
        <f>K16+K17</f>
        <v>19.5</v>
      </c>
      <c r="L18" s="20"/>
      <c r="M18" s="4"/>
      <c r="N18" s="4"/>
      <c r="O18" s="8" t="s">
        <v>18</v>
      </c>
    </row>
    <row r="19" spans="2:15" x14ac:dyDescent="0.4">
      <c r="B19" s="24"/>
      <c r="C19" s="5" t="s">
        <v>36</v>
      </c>
      <c r="D19" s="18">
        <f>D15*D18</f>
        <v>9.75</v>
      </c>
      <c r="E19" s="21" t="s">
        <v>27</v>
      </c>
      <c r="F19" s="6"/>
      <c r="G19" s="6"/>
      <c r="H19" s="9" t="s">
        <v>18</v>
      </c>
      <c r="J19" s="5" t="s">
        <v>36</v>
      </c>
      <c r="K19" s="18">
        <f>K15*K18</f>
        <v>9.75</v>
      </c>
      <c r="L19" s="21" t="s">
        <v>27</v>
      </c>
      <c r="M19" s="6"/>
      <c r="N19" s="6"/>
      <c r="O19" s="9" t="s">
        <v>18</v>
      </c>
    </row>
    <row r="23" spans="2:15" x14ac:dyDescent="0.4">
      <c r="D23">
        <f>(D10)</f>
        <v>100</v>
      </c>
    </row>
    <row r="24" spans="2:15" x14ac:dyDescent="0.4">
      <c r="D24">
        <v>4</v>
      </c>
    </row>
    <row r="25" spans="2:15" x14ac:dyDescent="0.4">
      <c r="D25">
        <v>20</v>
      </c>
    </row>
    <row r="26" spans="2:15" x14ac:dyDescent="0.4">
      <c r="D26">
        <f>(D23*D24*D25)</f>
        <v>8000</v>
      </c>
      <c r="E26" s="22" t="s">
        <v>27</v>
      </c>
    </row>
  </sheetData>
  <mergeCells count="3">
    <mergeCell ref="C2:G2"/>
    <mergeCell ref="B4:B10"/>
    <mergeCell ref="B12:B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PWM</vt:lpstr>
      <vt:lpstr>TIM 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김재진</dc:creator>
  <cp:lastModifiedBy>김재진</cp:lastModifiedBy>
  <dcterms:created xsi:type="dcterms:W3CDTF">2021-06-02T06:01:36Z</dcterms:created>
  <dcterms:modified xsi:type="dcterms:W3CDTF">2023-08-01T09:42:41Z</dcterms:modified>
</cp:coreProperties>
</file>